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list" sheetId="2" state="visible" r:id="rId2"/>
  </sheets>
  <definedNames>
    <definedName name="_xlnm._FilterDatabase" localSheetId="1" hidden="1">'Checklist'!$A$1:$I$65</definedName>
    <definedName name="_xlnm.Print_Titles" localSheetId="1">'Checklist'!$1:$1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923"/>
      <sz val="11"/>
    </font>
    <font>
      <color rgb="000F1923"/>
      <sz val="10"/>
    </font>
    <font>
      <color rgb="0064748B"/>
      <sz val="10"/>
    </font>
    <font>
      <b val="1"/>
      <color rgb="000F1923"/>
      <sz val="10"/>
    </font>
    <font>
      <b val="1"/>
      <color rgb="000D9E6E"/>
      <sz val="16"/>
    </font>
    <font>
      <color rgb="0064748B"/>
    </font>
    <font>
      <b val="1"/>
      <color rgb="00FFFFFF"/>
    </font>
    <font>
      <b val="1"/>
    </font>
    <font>
      <b val="1"/>
      <sz val="12"/>
    </font>
    <font>
      <b val="1"/>
      <color rgb="000D9E6E"/>
      <sz val="12"/>
    </font>
  </fonts>
  <fills count="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0EEE9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0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color rgb="0064748B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10" customWidth="1" min="5" max="5"/>
    <col width="16" customWidth="1" min="6" max="6"/>
  </cols>
  <sheetData>
    <row r="1">
      <c r="A1" s="1" t="inlineStr">
        <is>
          <t>EdgeCipline — Pre-Launch Verification</t>
        </is>
      </c>
    </row>
    <row r="2">
      <c r="A2" s="2" t="inlineStr">
        <is>
          <t>Web first (W1–W6), then Android (A1–A3). Any F in W1–W3 or A1–A2 = do not launch.</t>
        </is>
      </c>
    </row>
    <row r="4">
      <c r="A4" s="3" t="inlineStr">
        <is>
          <t>Section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Not done</t>
        </is>
      </c>
      <c r="F4" s="3" t="inlineStr">
        <is>
          <t>Status</t>
        </is>
      </c>
    </row>
    <row r="5">
      <c r="A5" s="4" t="inlineStr">
        <is>
          <t>W1. Production config — read before you click</t>
        </is>
      </c>
      <c r="B5" s="4">
        <f>COUNTIFS(Checklist!$C:$C,A5,Checklist!$D:$D,"&lt;&gt;")</f>
        <v/>
      </c>
      <c r="C5" s="4">
        <f>COUNTIFS(Checklist!$C:$C,A5,Checklist!$F:$F,"P")</f>
        <v/>
      </c>
      <c r="D5" s="4">
        <f>COUNTIFS(Checklist!$C:$C,A5,Checklist!$F:$F,"F")</f>
        <v/>
      </c>
      <c r="E5" s="4">
        <f>B5-C5-D5-COUNTIFS(Checklist!$C:$C,A5,Checklist!$F:$F,"N/A")</f>
        <v/>
      </c>
      <c r="F5" s="5">
        <f>IF(D5&gt;0,"BLOCKED",IF(E5&gt;0,"IN PROGRESS","DONE"))</f>
        <v/>
      </c>
    </row>
    <row r="6">
      <c r="A6" s="4" t="inlineStr">
        <is>
          <t>W2. Lockout paths — if these break, nobody can get in</t>
        </is>
      </c>
      <c r="B6" s="4">
        <f>COUNTIFS(Checklist!$C:$C,A6,Checklist!$D:$D,"&lt;&gt;")</f>
        <v/>
      </c>
      <c r="C6" s="4">
        <f>COUNTIFS(Checklist!$C:$C,A6,Checklist!$F:$F,"P")</f>
        <v/>
      </c>
      <c r="D6" s="4">
        <f>COUNTIFS(Checklist!$C:$C,A6,Checklist!$F:$F,"F")</f>
        <v/>
      </c>
      <c r="E6" s="4">
        <f>B6-C6-D6-COUNTIFS(Checklist!$C:$C,A6,Checklist!$F:$F,"N/A")</f>
        <v/>
      </c>
      <c r="F6" s="5">
        <f>IF(D6&gt;0,"BLOCKED",IF(E6&gt;0,"IN PROGRESS","DONE"))</f>
        <v/>
      </c>
    </row>
    <row r="7">
      <c r="A7" s="4" t="inlineStr">
        <is>
          <t>W3. Money — irreversible if wrong</t>
        </is>
      </c>
      <c r="B7" s="4">
        <f>COUNTIFS(Checklist!$C:$C,A7,Checklist!$D:$D,"&lt;&gt;")</f>
        <v/>
      </c>
      <c r="C7" s="4">
        <f>COUNTIFS(Checklist!$C:$C,A7,Checklist!$F:$F,"P")</f>
        <v/>
      </c>
      <c r="D7" s="4">
        <f>COUNTIFS(Checklist!$C:$C,A7,Checklist!$F:$F,"F")</f>
        <v/>
      </c>
      <c r="E7" s="4">
        <f>B7-C7-D7-COUNTIFS(Checklist!$C:$C,A7,Checklist!$F:$F,"N/A")</f>
        <v/>
      </c>
      <c r="F7" s="5">
        <f>IF(D7&gt;0,"BLOCKED",IF(E7&gt;0,"IN PROGRESS","DONE"))</f>
        <v/>
      </c>
    </row>
    <row r="8">
      <c r="A8" s="4" t="inlineStr">
        <is>
          <t>W4. Core loop on web</t>
        </is>
      </c>
      <c r="B8" s="4">
        <f>COUNTIFS(Checklist!$C:$C,A8,Checklist!$D:$D,"&lt;&gt;")</f>
        <v/>
      </c>
      <c r="C8" s="4">
        <f>COUNTIFS(Checklist!$C:$C,A8,Checklist!$F:$F,"P")</f>
        <v/>
      </c>
      <c r="D8" s="4">
        <f>COUNTIFS(Checklist!$C:$C,A8,Checklist!$F:$F,"F")</f>
        <v/>
      </c>
      <c r="E8" s="4">
        <f>B8-C8-D8-COUNTIFS(Checklist!$C:$C,A8,Checklist!$F:$F,"N/A")</f>
        <v/>
      </c>
      <c r="F8" s="5">
        <f>IF(D8&gt;0,"BLOCKED",IF(E8&gt;0,"IN PROGRESS","DONE"))</f>
        <v/>
      </c>
    </row>
    <row r="9">
      <c r="A9" s="4" t="inlineStr">
        <is>
          <t>W5. Support is reachable — your post-launch safety net</t>
        </is>
      </c>
      <c r="B9" s="4">
        <f>COUNTIFS(Checklist!$C:$C,A9,Checklist!$D:$D,"&lt;&gt;")</f>
        <v/>
      </c>
      <c r="C9" s="4">
        <f>COUNTIFS(Checklist!$C:$C,A9,Checklist!$F:$F,"P")</f>
        <v/>
      </c>
      <c r="D9" s="4">
        <f>COUNTIFS(Checklist!$C:$C,A9,Checklist!$F:$F,"F")</f>
        <v/>
      </c>
      <c r="E9" s="4">
        <f>B9-C9-D9-COUNTIFS(Checklist!$C:$C,A9,Checklist!$F:$F,"N/A")</f>
        <v/>
      </c>
      <c r="F9" s="5">
        <f>IF(D9&gt;0,"BLOCKED",IF(E9&gt;0,"IN PROGRESS","DONE"))</f>
        <v/>
      </c>
    </row>
    <row r="10">
      <c r="A10" s="4" t="inlineStr">
        <is>
          <t>W6. Admin sanity</t>
        </is>
      </c>
      <c r="B10" s="4">
        <f>COUNTIFS(Checklist!$C:$C,A10,Checklist!$D:$D,"&lt;&gt;")</f>
        <v/>
      </c>
      <c r="C10" s="4">
        <f>COUNTIFS(Checklist!$C:$C,A10,Checklist!$F:$F,"P")</f>
        <v/>
      </c>
      <c r="D10" s="4">
        <f>COUNTIFS(Checklist!$C:$C,A10,Checklist!$F:$F,"F")</f>
        <v/>
      </c>
      <c r="E10" s="4">
        <f>B10-C10-D10-COUNTIFS(Checklist!$C:$C,A10,Checklist!$F:$F,"N/A")</f>
        <v/>
      </c>
      <c r="F10" s="5">
        <f>IF(D10&gt;0,"BLOCKED",IF(E10&gt;0,"IN PROGRESS","DONE"))</f>
        <v/>
      </c>
    </row>
    <row r="11">
      <c r="A11" s="4" t="inlineStr">
        <is>
          <t>A1. Store compliance — suspension risk</t>
        </is>
      </c>
      <c r="B11" s="4">
        <f>COUNTIFS(Checklist!$C:$C,A11,Checklist!$D:$D,"&lt;&gt;")</f>
        <v/>
      </c>
      <c r="C11" s="4">
        <f>COUNTIFS(Checklist!$C:$C,A11,Checklist!$F:$F,"P")</f>
        <v/>
      </c>
      <c r="D11" s="4">
        <f>COUNTIFS(Checklist!$C:$C,A11,Checklist!$F:$F,"F")</f>
        <v/>
      </c>
      <c r="E11" s="4">
        <f>B11-C11-D11-COUNTIFS(Checklist!$C:$C,A11,Checklist!$F:$F,"N/A")</f>
        <v/>
      </c>
      <c r="F11" s="5">
        <f>IF(D11&gt;0,"BLOCKED",IF(E11&gt;0,"IN PROGRESS","DONE"))</f>
        <v/>
      </c>
    </row>
    <row r="12">
      <c r="A12" s="4" t="inlineStr">
        <is>
          <t>A2. Google Play money</t>
        </is>
      </c>
      <c r="B12" s="4">
        <f>COUNTIFS(Checklist!$C:$C,A12,Checklist!$D:$D,"&lt;&gt;")</f>
        <v/>
      </c>
      <c r="C12" s="4">
        <f>COUNTIFS(Checklist!$C:$C,A12,Checklist!$F:$F,"P")</f>
        <v/>
      </c>
      <c r="D12" s="4">
        <f>COUNTIFS(Checklist!$C:$C,A12,Checklist!$F:$F,"F")</f>
        <v/>
      </c>
      <c r="E12" s="4">
        <f>B12-C12-D12-COUNTIFS(Checklist!$C:$C,A12,Checklist!$F:$F,"N/A")</f>
        <v/>
      </c>
      <c r="F12" s="5">
        <f>IF(D12&gt;0,"BLOCKED",IF(E12&gt;0,"IN PROGRESS","DONE"))</f>
        <v/>
      </c>
    </row>
    <row r="13">
      <c r="A13" s="4" t="inlineStr">
        <is>
          <t>A3. App-only behaviour</t>
        </is>
      </c>
      <c r="B13" s="4">
        <f>COUNTIFS(Checklist!$C:$C,A13,Checklist!$D:$D,"&lt;&gt;")</f>
        <v/>
      </c>
      <c r="C13" s="4">
        <f>COUNTIFS(Checklist!$C:$C,A13,Checklist!$F:$F,"P")</f>
        <v/>
      </c>
      <c r="D13" s="4">
        <f>COUNTIFS(Checklist!$C:$C,A13,Checklist!$F:$F,"F")</f>
        <v/>
      </c>
      <c r="E13" s="4">
        <f>B13-C13-D13-COUNTIFS(Checklist!$C:$C,A13,Checklist!$F:$F,"N/A")</f>
        <v/>
      </c>
      <c r="F13" s="5">
        <f>IF(D13&gt;0,"BLOCKED",IF(E13&gt;0,"IN PROGRESS","DONE"))</f>
        <v/>
      </c>
    </row>
    <row r="14">
      <c r="A14" s="4" t="inlineStr">
        <is>
          <t>Before deploy</t>
        </is>
      </c>
      <c r="B14" s="4">
        <f>COUNTIFS(Checklist!$C:$C,A14,Checklist!$D:$D,"&lt;&gt;")</f>
        <v/>
      </c>
      <c r="C14" s="4">
        <f>COUNTIFS(Checklist!$C:$C,A14,Checklist!$F:$F,"P")</f>
        <v/>
      </c>
      <c r="D14" s="4">
        <f>COUNTIFS(Checklist!$C:$C,A14,Checklist!$F:$F,"F")</f>
        <v/>
      </c>
      <c r="E14" s="4">
        <f>B14-C14-D14-COUNTIFS(Checklist!$C:$C,A14,Checklist!$F:$F,"N/A")</f>
        <v/>
      </c>
      <c r="F14" s="5">
        <f>IF(D14&gt;0,"BLOCKED",IF(E14&gt;0,"IN PROGRESS","DONE"))</f>
        <v/>
      </c>
    </row>
    <row r="16">
      <c r="A16" s="6" t="inlineStr">
        <is>
          <t>LAUNCH DECISION</t>
        </is>
      </c>
      <c r="B16" s="7">
        <f>IF(COUNTIF(Checklist!$F:$F,"F")&gt;0,"DO NOT LAUNCH — fix the F items",IF(SUM(E5:E14)&gt;0,"NOT READY — tests remaining","READY TO LAUNCH"))</f>
        <v/>
      </c>
    </row>
    <row r="18">
      <c r="A18" s="8" t="inlineStr">
        <is>
          <t>Rollback build / tag:</t>
        </is>
      </c>
      <c r="B18" s="4" t="inlineStr"/>
      <c r="C18" s="9" t="n"/>
      <c r="D18" s="9" t="n"/>
      <c r="E18" s="9" t="n"/>
      <c r="F18" s="10" t="n"/>
    </row>
    <row r="19">
      <c r="A19" s="8" t="inlineStr">
        <is>
          <t>Signed off by / date:</t>
        </is>
      </c>
      <c r="B19" s="4" t="inlineStr"/>
      <c r="C19" s="9" t="n"/>
      <c r="D19" s="9" t="n"/>
      <c r="E19" s="9" t="n"/>
      <c r="F19" s="10" t="n"/>
    </row>
  </sheetData>
  <mergeCells count="3">
    <mergeCell ref="B16:F16"/>
    <mergeCell ref="B18:F18"/>
    <mergeCell ref="B19:F19"/>
  </mergeCells>
  <conditionalFormatting sqref="F5:F14">
    <cfRule type="cellIs" priority="1" operator="equal" dxfId="0">
      <formula>"BLOCKED"</formula>
    </cfRule>
    <cfRule type="cellIs" priority="2" operator="equal" dxfId="1">
      <formula>"DONE"</formula>
    </cfRule>
    <cfRule type="cellIs" priority="3" operator="equal" dxfId="2">
      <formula>"IN PROGRESS"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52" customWidth="1" min="4" max="4"/>
    <col width="70" customWidth="1" min="5" max="5"/>
    <col width="12" customWidth="1" min="6" max="6"/>
    <col width="16" customWidth="1" min="7" max="7"/>
    <col width="12" customWidth="1" min="8" max="8"/>
    <col width="40" customWidth="1" min="9" max="9"/>
  </cols>
  <sheetData>
    <row r="1" ht="24" customHeight="1">
      <c r="A1" s="11" t="inlineStr">
        <is>
          <t>#</t>
        </is>
      </c>
      <c r="B1" s="11" t="inlineStr">
        <is>
          <t>Pass</t>
        </is>
      </c>
      <c r="C1" s="11" t="inlineStr">
        <is>
          <t>Section</t>
        </is>
      </c>
      <c r="D1" s="11" t="inlineStr">
        <is>
          <t>Test</t>
        </is>
      </c>
      <c r="E1" s="11" t="inlineStr">
        <is>
          <t>Expected result</t>
        </is>
      </c>
      <c r="F1" s="11" t="inlineStr">
        <is>
          <t>Result</t>
        </is>
      </c>
      <c r="G1" s="11" t="inlineStr">
        <is>
          <t>Tested by</t>
        </is>
      </c>
      <c r="H1" s="11" t="inlineStr">
        <is>
          <t>Date</t>
        </is>
      </c>
      <c r="I1" s="11" t="inlineStr">
        <is>
          <t>Notes / bug link</t>
        </is>
      </c>
    </row>
    <row r="2" ht="22" customHeight="1">
      <c r="A2" s="12" t="inlineStr">
        <is>
          <t>Pass 1 — Web   ›   W1. Production config — read before you click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13" t="n">
        <v>1</v>
      </c>
      <c r="B3" s="14" t="inlineStr">
        <is>
          <t>Pass 1 — Web</t>
        </is>
      </c>
      <c r="C3" s="14" t="inlineStr">
        <is>
          <t>W1. Production config — read before you click</t>
        </is>
      </c>
      <c r="D3" s="15" t="inlineStr">
        <is>
          <t>Backend .env (prod): Razorpay key is LIVE (not rzp_test_), MONGO_URI is the production cluster and MONGO_URI_LOCAL is NOT set, Cloudinary is the production account, mail provider is production, SUPPORT_TICKETS_ENABLED=true, free-trade limit enforcement is on.</t>
        </is>
      </c>
      <c r="E3" s="13" t="inlineStr"/>
      <c r="F3" s="16" t="inlineStr"/>
      <c r="G3" s="13" t="inlineStr"/>
      <c r="H3" s="13" t="inlineStr"/>
      <c r="I3" s="13" t="inlineStr"/>
    </row>
    <row r="4">
      <c r="A4" s="13" t="n">
        <v>2</v>
      </c>
      <c r="B4" s="14" t="inlineStr">
        <is>
          <t>Pass 1 — Web</t>
        </is>
      </c>
      <c r="C4" s="14" t="inlineStr">
        <is>
          <t>W1. Production config — read before you click</t>
        </is>
      </c>
      <c r="D4" s="15" t="inlineStr">
        <is>
          <t>Web build flags: NEXT_PUBLIC_PAYMENTS_ENABLED=true, NEXT_PUBLIC_PLAY_BILLING_ENABLED=false, NEXT_PUBLIC_RAZORPAY_KEY_ID is the live key</t>
        </is>
      </c>
      <c r="E4" s="13" t="inlineStr">
        <is>
          <t>Confirm the checkout modal does NOT say "Sandbox demo".</t>
        </is>
      </c>
      <c r="F4" s="16" t="inlineStr"/>
      <c r="G4" s="13" t="inlineStr"/>
      <c r="H4" s="13" t="inlineStr"/>
      <c r="I4" s="13" t="inlineStr"/>
    </row>
    <row r="5">
      <c r="A5" s="13" t="n">
        <v>3</v>
      </c>
      <c r="B5" s="14" t="inlineStr">
        <is>
          <t>Pass 1 — Web</t>
        </is>
      </c>
      <c r="C5" s="14" t="inlineStr">
        <is>
          <t>W1. Production config — read before you click</t>
        </is>
      </c>
      <c r="D5" s="15" t="inlineStr">
        <is>
          <t>CORS: allowlist contains only the production frontend origin(s)</t>
        </is>
      </c>
      <c r="E5" s="13" t="inlineStr">
        <is>
          <t>No localhost, no old Cloudflare preview URLs. CORS_DEBUG off.</t>
        </is>
      </c>
      <c r="F5" s="16" t="inlineStr"/>
      <c r="G5" s="13" t="inlineStr"/>
      <c r="H5" s="13" t="inlineStr"/>
      <c r="I5" s="13" t="inlineStr"/>
    </row>
    <row r="6">
      <c r="A6" s="13" t="n">
        <v>4</v>
      </c>
      <c r="B6" s="14" t="inlineStr">
        <is>
          <t>Pass 1 — Web</t>
        </is>
      </c>
      <c r="C6" s="14" t="inlineStr">
        <is>
          <t>W1. Production config — read before you click</t>
        </is>
      </c>
      <c r="D6" s="15" t="inlineStr">
        <is>
          <t>Secrets: JWT / admin JWT secrets differ from staging/dev and are not committed to git.</t>
        </is>
      </c>
      <c r="E6" s="13" t="inlineStr"/>
      <c r="F6" s="16" t="inlineStr"/>
      <c r="G6" s="13" t="inlineStr"/>
      <c r="H6" s="13" t="inlineStr"/>
      <c r="I6" s="13" t="inlineStr"/>
    </row>
    <row r="7">
      <c r="A7" s="13" t="n">
        <v>5</v>
      </c>
      <c r="B7" s="14" t="inlineStr">
        <is>
          <t>Pass 1 — Web</t>
        </is>
      </c>
      <c r="C7" s="14" t="inlineStr">
        <is>
          <t>W1. Production config — read before you click</t>
        </is>
      </c>
      <c r="D7" s="15" t="inlineStr">
        <is>
          <t>HTTPS: site and API load over HTTPS; browser console shows no mixed-content or CORS errors on the dashboard.</t>
        </is>
      </c>
      <c r="E7" s="13" t="inlineStr"/>
      <c r="F7" s="16" t="inlineStr"/>
      <c r="G7" s="13" t="inlineStr"/>
      <c r="H7" s="13" t="inlineStr"/>
      <c r="I7" s="13" t="inlineStr"/>
    </row>
    <row r="8">
      <c r="A8" s="13" t="n">
        <v>6</v>
      </c>
      <c r="B8" s="14" t="inlineStr">
        <is>
          <t>Pass 1 — Web</t>
        </is>
      </c>
      <c r="C8" s="14" t="inlineStr">
        <is>
          <t>W1. Production config — read before you click</t>
        </is>
      </c>
      <c r="D8" s="15" t="inlineStr">
        <is>
          <t>Database backup: Atlas (or host) shows automated backups enabled and at least one snapshot exists.</t>
        </is>
      </c>
      <c r="E8" s="13" t="inlineStr"/>
      <c r="F8" s="16" t="inlineStr"/>
      <c r="G8" s="13" t="inlineStr"/>
      <c r="H8" s="13" t="inlineStr"/>
      <c r="I8" s="13" t="inlineStr"/>
    </row>
    <row r="9">
      <c r="A9" s="13" t="n">
        <v>7</v>
      </c>
      <c r="B9" s="14" t="inlineStr">
        <is>
          <t>Pass 1 — Web</t>
        </is>
      </c>
      <c r="C9" s="14" t="inlineStr">
        <is>
          <t>W1. Production config — read before you click</t>
        </is>
      </c>
      <c r="D9" s="15" t="inlineStr">
        <is>
          <t>Indexes &amp; seeds: syncIndexes.js run once on production; production admin exists (ensureAdminUser.js --list); knowledge base seeded (/support shows articles, not "Guides are on their way").</t>
        </is>
      </c>
      <c r="E9" s="13" t="inlineStr"/>
      <c r="F9" s="16" t="inlineStr"/>
      <c r="G9" s="13" t="inlineStr"/>
      <c r="H9" s="13" t="inlineStr"/>
      <c r="I9" s="13" t="inlineStr"/>
    </row>
    <row r="10" ht="22" customHeight="1">
      <c r="A10" s="12" t="inlineStr">
        <is>
          <t>Pass 1 — Web   ›   W2. Lockout paths — if these break, nobody can get in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13" t="n">
        <v>8</v>
      </c>
      <c r="B11" s="14" t="inlineStr">
        <is>
          <t>Pass 1 — Web</t>
        </is>
      </c>
      <c r="C11" s="14" t="inlineStr">
        <is>
          <t>W2. Lockout paths — if these break, nobody can get in</t>
        </is>
      </c>
      <c r="D11" s="15" t="inlineStr">
        <is>
          <t>Register → OTP. Register a fresh email</t>
        </is>
      </c>
      <c r="E11" s="13" t="inlineStr">
        <is>
          <t>OTP email arrives within a minute from the production mail provider; correct OTP works; wrong OTP rejected; resend works.</t>
        </is>
      </c>
      <c r="F11" s="16" t="inlineStr"/>
      <c r="G11" s="13" t="inlineStr"/>
      <c r="H11" s="13" t="inlineStr"/>
      <c r="I11" s="13" t="inlineStr"/>
    </row>
    <row r="12">
      <c r="A12" s="13" t="n">
        <v>9</v>
      </c>
      <c r="B12" s="14" t="inlineStr">
        <is>
          <t>Pass 1 — Web</t>
        </is>
      </c>
      <c r="C12" s="14" t="inlineStr">
        <is>
          <t>W2. Lockout paths — if these break, nobody can get in</t>
        </is>
      </c>
      <c r="D12" s="15" t="inlineStr">
        <is>
          <t>Accept terms</t>
        </is>
      </c>
      <c r="E12" s="13" t="inlineStr">
        <is>
          <t>New account is asked to accept Terms once, then never again.</t>
        </is>
      </c>
      <c r="F12" s="16" t="inlineStr"/>
      <c r="G12" s="13" t="inlineStr"/>
      <c r="H12" s="13" t="inlineStr"/>
      <c r="I12" s="13" t="inlineStr"/>
    </row>
    <row r="13">
      <c r="A13" s="13" t="n">
        <v>10</v>
      </c>
      <c r="B13" s="14" t="inlineStr">
        <is>
          <t>Pass 1 — Web</t>
        </is>
      </c>
      <c r="C13" s="14" t="inlineStr">
        <is>
          <t>W2. Lockout paths — if these break, nobody can get in</t>
        </is>
      </c>
      <c r="D13" s="15" t="inlineStr">
        <is>
          <t>Login / session / logout</t>
        </is>
      </c>
      <c r="E13" s="13" t="inlineStr">
        <is>
          <t>Login works; refresh keeps you in; open a second tab → still logged in; logout in one tab logs out the other.</t>
        </is>
      </c>
      <c r="F13" s="16" t="inlineStr"/>
      <c r="G13" s="13" t="inlineStr"/>
      <c r="H13" s="13" t="inlineStr"/>
      <c r="I13" s="13" t="inlineStr"/>
    </row>
    <row r="14">
      <c r="A14" s="13" t="n">
        <v>11</v>
      </c>
      <c r="B14" s="14" t="inlineStr">
        <is>
          <t>Pass 1 — Web</t>
        </is>
      </c>
      <c r="C14" s="14" t="inlineStr">
        <is>
          <t>W2. Lockout paths — if these break, nobody can get in</t>
        </is>
      </c>
      <c r="D14" s="15" t="inlineStr">
        <is>
          <t>Forgot password</t>
        </is>
      </c>
      <c r="E14" s="13" t="inlineStr">
        <is>
          <t>Request reset → email arrives → link opens /reset-password → new password works, old one does not, the link cannot be reused.</t>
        </is>
      </c>
      <c r="F14" s="16" t="inlineStr"/>
      <c r="G14" s="13" t="inlineStr"/>
      <c r="H14" s="13" t="inlineStr"/>
      <c r="I14" s="13" t="inlineStr"/>
    </row>
    <row r="15">
      <c r="A15" s="13" t="n">
        <v>12</v>
      </c>
      <c r="B15" s="14" t="inlineStr">
        <is>
          <t>Pass 1 — Web</t>
        </is>
      </c>
      <c r="C15" s="14" t="inlineStr">
        <is>
          <t>W2. Lockout paths — if these break, nobody can get in</t>
        </is>
      </c>
      <c r="D15" s="15" t="inlineStr">
        <is>
          <t>Admin login. /admin/login with the real production admin (not the local seed)</t>
        </is>
      </c>
      <c r="E15" s="13" t="inlineStr">
        <is>
          <t>admin dashboard loads; wrong password rejected. (3 failures lock for 1 hour.)</t>
        </is>
      </c>
      <c r="F15" s="16" t="inlineStr"/>
      <c r="G15" s="13" t="inlineStr"/>
      <c r="H15" s="13" t="inlineStr"/>
      <c r="I15" s="13" t="inlineStr"/>
    </row>
    <row r="16">
      <c r="A16" s="13" t="n">
        <v>13</v>
      </c>
      <c r="B16" s="14" t="inlineStr">
        <is>
          <t>Pass 1 — Web</t>
        </is>
      </c>
      <c r="C16" s="14" t="inlineStr">
        <is>
          <t>W2. Lockout paths — if these break, nobody can get in</t>
        </is>
      </c>
      <c r="D16" s="15" t="inlineStr">
        <is>
          <t>Admin routes blocked for users. Logged in as a normal user, open /admin/users directly</t>
        </is>
      </c>
      <c r="E16" s="13" t="inlineStr">
        <is>
          <t>refused, not rendered.</t>
        </is>
      </c>
      <c r="F16" s="16" t="inlineStr"/>
      <c r="G16" s="13" t="inlineStr"/>
      <c r="H16" s="13" t="inlineStr"/>
      <c r="I16" s="13" t="inlineStr"/>
    </row>
    <row r="17" ht="22" customHeight="1">
      <c r="A17" s="12" t="inlineStr">
        <is>
          <t>Pass 1 — Web   ›   W3. Money — irreversible if wrong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13" t="n">
        <v>14</v>
      </c>
      <c r="B18" s="14" t="inlineStr">
        <is>
          <t>Pass 1 — Web</t>
        </is>
      </c>
      <c r="C18" s="14" t="inlineStr">
        <is>
          <t>W3. Money — irreversible if wrong</t>
        </is>
      </c>
      <c r="D18" s="15" t="inlineStr">
        <is>
          <t>Real Razorpay payment. Buy the cheapest plan with a real card/UPI on the LIVE key</t>
        </is>
      </c>
      <c r="E18" s="13" t="inlineStr">
        <is>
          <t>Premium unlocks immediately without a refresh; Settings shows plan + correct expiry; payment appears in /admin/payments with the same order id and amount as the Razorpay dashboard.</t>
        </is>
      </c>
      <c r="F18" s="16" t="inlineStr"/>
      <c r="G18" s="13" t="inlineStr"/>
      <c r="H18" s="13" t="inlineStr"/>
      <c r="I18" s="13" t="inlineStr"/>
    </row>
    <row r="19">
      <c r="A19" s="13" t="n">
        <v>15</v>
      </c>
      <c r="B19" s="14" t="inlineStr">
        <is>
          <t>Pass 1 — Web</t>
        </is>
      </c>
      <c r="C19" s="14" t="inlineStr">
        <is>
          <t>W3. Money — irreversible if wrong</t>
        </is>
      </c>
      <c r="D19" s="15" t="inlineStr">
        <is>
          <t>Payment failure. Start checkout and cancel / use a failing method</t>
        </is>
      </c>
      <c r="E19" s="13" t="inlineStr">
        <is>
          <t>clear error, still free plan, no charge, retry works without a duplicate order.</t>
        </is>
      </c>
      <c r="F19" s="16" t="inlineStr"/>
      <c r="G19" s="13" t="inlineStr"/>
      <c r="H19" s="13" t="inlineStr"/>
      <c r="I19" s="13" t="inlineStr"/>
    </row>
    <row r="20">
      <c r="A20" s="13" t="n">
        <v>16</v>
      </c>
      <c r="B20" s="14" t="inlineStr">
        <is>
          <t>Pass 1 — Web</t>
        </is>
      </c>
      <c r="C20" s="14" t="inlineStr">
        <is>
          <t>W3. Money — irreversible if wrong</t>
        </is>
      </c>
      <c r="D20" s="15" t="inlineStr">
        <is>
          <t>Pricing matches</t>
        </is>
      </c>
      <c r="E20" s="13" t="inlineStr">
        <is>
          <t>Plan cards on the paywall, the amount on the pay button, and what Razorpay actually charged are the same numbers (monthly / 3-month / 6-month).</t>
        </is>
      </c>
      <c r="F20" s="16" t="inlineStr"/>
      <c r="G20" s="13" t="inlineStr"/>
      <c r="H20" s="13" t="inlineStr"/>
      <c r="I20" s="13" t="inlineStr"/>
    </row>
    <row r="21">
      <c r="A21" s="13" t="n">
        <v>17</v>
      </c>
      <c r="B21" s="14" t="inlineStr">
        <is>
          <t>Pass 1 — Web</t>
        </is>
      </c>
      <c r="C21" s="14" t="inlineStr">
        <is>
          <t>W3. Money — irreversible if wrong</t>
        </is>
      </c>
      <c r="D21" s="15" t="inlineStr">
        <is>
          <t>Coupon (if you launch with one)</t>
        </is>
      </c>
      <c r="E21" s="13" t="inlineStr">
        <is>
          <t>Valid code reduces the payable amount on the button and the charged amount matches; invalid/disabled code shows "This code isn't valid".</t>
        </is>
      </c>
      <c r="F21" s="16" t="inlineStr"/>
      <c r="G21" s="13" t="inlineStr"/>
      <c r="H21" s="13" t="inlineStr"/>
      <c r="I21" s="13" t="inlineStr"/>
    </row>
    <row r="22">
      <c r="A22" s="13" t="n">
        <v>18</v>
      </c>
      <c r="B22" s="14" t="inlineStr">
        <is>
          <t>Pass 1 — Web</t>
        </is>
      </c>
      <c r="C22" s="14" t="inlineStr">
        <is>
          <t>W3. Money — irreversible if wrong</t>
        </is>
      </c>
      <c r="D22" s="15" t="inlineStr">
        <is>
          <t>Premium survives re-login</t>
        </is>
      </c>
      <c r="E22" s="13" t="inlineStr">
        <is>
          <t>Log out and back in → still Premium.</t>
        </is>
      </c>
      <c r="F22" s="16" t="inlineStr"/>
      <c r="G22" s="13" t="inlineStr"/>
      <c r="H22" s="13" t="inlineStr"/>
      <c r="I22" s="13" t="inlineStr"/>
    </row>
    <row r="23" ht="22" customHeight="1">
      <c r="A23" s="12" t="inlineStr">
        <is>
          <t>Pass 1 — Web   ›   W4. Core loop on web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13" t="n">
        <v>19</v>
      </c>
      <c r="B24" s="14" t="inlineStr">
        <is>
          <t>Pass 1 — Web</t>
        </is>
      </c>
      <c r="C24" s="14" t="inlineStr">
        <is>
          <t>W4. Core loop on web</t>
        </is>
      </c>
      <c r="D24" s="15" t="inlineStr">
        <is>
          <t>Onboarding</t>
        </is>
      </c>
      <c r="E24" s="13" t="inlineStr">
        <is>
          <t>New account → onboarding → create a setup → lands on the dashboard; Growth Path shows "Build Setup" as done.</t>
        </is>
      </c>
      <c r="F24" s="16" t="inlineStr"/>
      <c r="G24" s="13" t="inlineStr"/>
      <c r="H24" s="13" t="inlineStr"/>
      <c r="I24" s="13" t="inlineStr"/>
    </row>
    <row r="25">
      <c r="A25" s="13" t="n">
        <v>20</v>
      </c>
      <c r="B25" s="14" t="inlineStr">
        <is>
          <t>Pass 1 — Web</t>
        </is>
      </c>
      <c r="C25" s="14" t="inlineStr">
        <is>
          <t>W4. Core loop on web</t>
        </is>
      </c>
      <c r="D25" s="15" t="inlineStr">
        <is>
          <t>Manual trade — Forex. Log one trade filling Setup / Pattern, SL/TP, R:R, mood, confidence, emotions</t>
        </is>
      </c>
      <c r="E25" s="13" t="inlineStr">
        <is>
          <t>saves; appears in Trades; detail/edit shows every field intact.</t>
        </is>
      </c>
      <c r="F25" s="16" t="inlineStr"/>
      <c r="G25" s="13" t="inlineStr"/>
      <c r="H25" s="13" t="inlineStr"/>
      <c r="I25" s="13" t="inlineStr"/>
    </row>
    <row r="26">
      <c r="A26" s="13" t="n">
        <v>21</v>
      </c>
      <c r="B26" s="14" t="inlineStr">
        <is>
          <t>Pass 1 — Web</t>
        </is>
      </c>
      <c r="C26" s="14" t="inlineStr">
        <is>
          <t>W4. Core loop on web</t>
        </is>
      </c>
      <c r="D26" s="15" t="inlineStr">
        <is>
          <t>Manual trade — Indian (Options + Equity). Switch to India market, log one of each</t>
        </is>
      </c>
      <c r="E26" s="13" t="inlineStr">
        <is>
          <t>strike/CE-PE (options) or symbol/qty (equity), SL/TP, trade type, screenshot all saved.</t>
        </is>
      </c>
      <c r="F26" s="16" t="inlineStr"/>
      <c r="G26" s="13" t="inlineStr"/>
      <c r="H26" s="13" t="inlineStr"/>
      <c r="I26" s="13" t="inlineStr"/>
    </row>
    <row r="27">
      <c r="A27" s="13" t="n">
        <v>22</v>
      </c>
      <c r="B27" s="14" t="inlineStr">
        <is>
          <t>Pass 1 — Web</t>
        </is>
      </c>
      <c r="C27" s="14" t="inlineStr">
        <is>
          <t>W4. Core loop on web</t>
        </is>
      </c>
      <c r="D27" s="15" t="inlineStr">
        <is>
          <t>OCR upload. /upload-trade with a real broker screenshot (NOT EURUSD)</t>
        </is>
      </c>
      <c r="E27" s="13" t="inlineStr">
        <is>
          <t>extracted pair/entry/exit/P&amp;L match the image — never the generic EURUSD / 0.01 lot / +50 sample. Then upload a blurry/non-chart image → clear "could not extract" error, no invented trade.</t>
        </is>
      </c>
      <c r="F27" s="16" t="inlineStr"/>
      <c r="G27" s="13" t="inlineStr"/>
      <c r="H27" s="13" t="inlineStr"/>
      <c r="I27" s="13" t="inlineStr"/>
    </row>
    <row r="28">
      <c r="A28" s="13" t="n">
        <v>23</v>
      </c>
      <c r="B28" s="14" t="inlineStr">
        <is>
          <t>Pass 1 — Web</t>
        </is>
      </c>
      <c r="C28" s="14" t="inlineStr">
        <is>
          <t>W4. Core loop on web</t>
        </is>
      </c>
      <c r="D28" s="15" t="inlineStr">
        <is>
          <t>Free-trade limit. On a free account log a 3rd trade in one market</t>
        </is>
      </c>
      <c r="E28" s="13" t="inlineStr">
        <is>
          <t>limit dialog ("You've used your 2 free … trades"), and it opens the Razorpay paywall. Switch market → that market still allows its own 2 trades. Existing trades still viewable/editable.</t>
        </is>
      </c>
      <c r="F28" s="16" t="inlineStr"/>
      <c r="G28" s="13" t="inlineStr"/>
      <c r="H28" s="13" t="inlineStr"/>
      <c r="I28" s="13" t="inlineStr"/>
    </row>
    <row r="29">
      <c r="A29" s="13" t="n">
        <v>24</v>
      </c>
      <c r="B29" s="14" t="inlineStr">
        <is>
          <t>Pass 1 — Web</t>
        </is>
      </c>
      <c r="C29" s="14" t="inlineStr">
        <is>
          <t>W4. Core loop on web</t>
        </is>
      </c>
      <c r="D29" s="15" t="inlineStr">
        <is>
          <t>Dashboard reflects trades</t>
        </is>
      </c>
      <c r="E29" s="13" t="inlineStr">
        <is>
          <t>P&amp;L / trade count match what you logged; market switcher changes the numbers; no stale data after adding a trade.</t>
        </is>
      </c>
      <c r="F29" s="16" t="inlineStr"/>
      <c r="G29" s="13" t="inlineStr"/>
      <c r="H29" s="13" t="inlineStr"/>
      <c r="I29" s="13" t="inlineStr"/>
    </row>
    <row r="30">
      <c r="A30" s="13" t="n">
        <v>25</v>
      </c>
      <c r="B30" s="14" t="inlineStr">
        <is>
          <t>Pass 1 — Web</t>
        </is>
      </c>
      <c r="C30" s="14" t="inlineStr">
        <is>
          <t>W4. Core loop on web</t>
        </is>
      </c>
      <c r="D30" s="15" t="inlineStr">
        <is>
          <t>Checklist image preview</t>
        </is>
      </c>
      <c r="E30" s="13" t="inlineStr">
        <is>
          <t>Checklist → expand a setup with reference images → click a thumbnail → the × close button is visible top-right and closes it. Also check at a short window height (reported bug).</t>
        </is>
      </c>
      <c r="F30" s="16" t="inlineStr"/>
      <c r="G30" s="13" t="inlineStr"/>
      <c r="H30" s="13" t="inlineStr"/>
      <c r="I30" s="13" t="inlineStr"/>
    </row>
    <row r="31">
      <c r="A31" s="13" t="n">
        <v>26</v>
      </c>
      <c r="B31" s="14" t="inlineStr">
        <is>
          <t>Pass 1 — Web</t>
        </is>
      </c>
      <c r="C31" s="14" t="inlineStr">
        <is>
          <t>W4. Core loop on web</t>
        </is>
      </c>
      <c r="D31" s="15" t="inlineStr">
        <is>
          <t>Phone width once</t>
        </is>
      </c>
      <c r="E31" s="13" t="inlineStr">
        <is>
          <t>Resize the browser to ~375px: Add Trade (both markets), the paywall, and the Help widget are usable — no cut-off buttons, no horizontal scroll.</t>
        </is>
      </c>
      <c r="F31" s="16" t="inlineStr"/>
      <c r="G31" s="13" t="inlineStr"/>
      <c r="H31" s="13" t="inlineStr"/>
      <c r="I31" s="13" t="inlineStr"/>
    </row>
    <row r="32" ht="22" customHeight="1">
      <c r="A32" s="12" t="inlineStr">
        <is>
          <t>Pass 1 — Web   ›   W5. Support is reachable — your post-launch safety net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13" t="n">
        <v>27</v>
      </c>
      <c r="B33" s="14" t="inlineStr">
        <is>
          <t>Pass 1 — Web</t>
        </is>
      </c>
      <c r="C33" s="14" t="inlineStr">
        <is>
          <t>W5. Support is reachable — your post-launch safety net</t>
        </is>
      </c>
      <c r="D33" s="15" t="inlineStr">
        <is>
          <t>/support logged out in a private window</t>
        </is>
      </c>
      <c r="E33" s="13" t="inlineStr">
        <is>
          <t>page renders with articles + contact options (this URL goes to Google/Apple reviewers).</t>
        </is>
      </c>
      <c r="F33" s="16" t="inlineStr"/>
      <c r="G33" s="13" t="inlineStr"/>
      <c r="H33" s="13" t="inlineStr"/>
      <c r="I33" s="13" t="inlineStr"/>
    </row>
    <row r="34">
      <c r="A34" s="13" t="n">
        <v>28</v>
      </c>
      <c r="B34" s="14" t="inlineStr">
        <is>
          <t>Pass 1 — Web</t>
        </is>
      </c>
      <c r="C34" s="14" t="inlineStr">
        <is>
          <t>W5. Support is reachable — your post-launch safety net</t>
        </is>
      </c>
      <c r="D34" s="15" t="inlineStr">
        <is>
          <t>Open a ticket as a user from /support/tickets/new with a screenshot</t>
        </is>
      </c>
      <c r="E34" s="13" t="inlineStr">
        <is>
          <t>appears in /admin/support within seconds; the attachment opens for the admin; pasting the raw image URL in a logged-out window returns 404 (private).</t>
        </is>
      </c>
      <c r="F34" s="16" t="inlineStr"/>
      <c r="G34" s="13" t="inlineStr"/>
      <c r="H34" s="13" t="inlineStr"/>
      <c r="I34" s="13" t="inlineStr"/>
    </row>
    <row r="35">
      <c r="A35" s="13" t="n">
        <v>29</v>
      </c>
      <c r="B35" s="14" t="inlineStr">
        <is>
          <t>Pass 1 — Web</t>
        </is>
      </c>
      <c r="C35" s="14" t="inlineStr">
        <is>
          <t>W5. Support is reachable — your post-launch safety net</t>
        </is>
      </c>
      <c r="D35" s="15" t="inlineStr">
        <is>
          <t>Report an issue from the app. OCR review screen → "Report OCR Issue" → submit with a screenshot</t>
        </is>
      </c>
      <c r="E35" s="13" t="inlineStr">
        <is>
          <t>success screen shows a ticket code (EC-…); the ticket has a Bug report badge in /support/tickets and in /admin/support; the admin context panel shows the OCR values table.</t>
        </is>
      </c>
      <c r="F35" s="16" t="inlineStr"/>
      <c r="G35" s="13" t="inlineStr"/>
      <c r="H35" s="13" t="inlineStr"/>
      <c r="I35" s="13" t="inlineStr"/>
    </row>
    <row r="36">
      <c r="A36" s="13" t="n">
        <v>30</v>
      </c>
      <c r="B36" s="14" t="inlineStr">
        <is>
          <t>Pass 1 — Web</t>
        </is>
      </c>
      <c r="C36" s="14" t="inlineStr">
        <is>
          <t>W5. Support is reachable — your post-launch safety net</t>
        </is>
      </c>
      <c r="D36" s="15" t="inlineStr">
        <is>
          <t>Admin reply → user. Reply from /admin/support</t>
        </is>
      </c>
      <c r="E36" s="13" t="inlineStr">
        <is>
          <t>user receives the notification/email and sees the reply on the ticket.</t>
        </is>
      </c>
      <c r="F36" s="16" t="inlineStr"/>
      <c r="G36" s="13" t="inlineStr"/>
      <c r="H36" s="13" t="inlineStr"/>
      <c r="I36" s="13" t="inlineStr"/>
    </row>
    <row r="37">
      <c r="A37" s="13" t="n">
        <v>31</v>
      </c>
      <c r="B37" s="14" t="inlineStr">
        <is>
          <t>Pass 1 — Web</t>
        </is>
      </c>
      <c r="C37" s="14" t="inlineStr">
        <is>
          <t>W5. Support is reachable — your post-launch safety net</t>
        </is>
      </c>
      <c r="D37" s="15" t="inlineStr">
        <is>
          <t>Issue → ticket sync. In /admin/issues, mark that report Fixed with a summary</t>
        </is>
      </c>
      <c r="E37" s="13" t="inlineStr">
        <is>
          <t>the ticket gets a Support reply with the summary and becomes Resolved.</t>
        </is>
      </c>
      <c r="F37" s="16" t="inlineStr"/>
      <c r="G37" s="13" t="inlineStr"/>
      <c r="H37" s="13" t="inlineStr"/>
      <c r="I37" s="13" t="inlineStr"/>
    </row>
    <row r="38">
      <c r="A38" s="13" t="n">
        <v>32</v>
      </c>
      <c r="B38" s="14" t="inlineStr">
        <is>
          <t>Pass 1 — Web</t>
        </is>
      </c>
      <c r="C38" s="14" t="inlineStr">
        <is>
          <t>W5. Support is reachable — your post-launch safety net</t>
        </is>
      </c>
      <c r="D38" s="15" t="inlineStr">
        <is>
          <t>Floating Help widget opens on the dashboard, answers a question or hands off to "Create a support ticket"; WhatsApp / email links open with the correct number/address.</t>
        </is>
      </c>
      <c r="E38" s="13" t="inlineStr"/>
      <c r="F38" s="16" t="inlineStr"/>
      <c r="G38" s="13" t="inlineStr"/>
      <c r="H38" s="13" t="inlineStr"/>
      <c r="I38" s="13" t="inlineStr"/>
    </row>
    <row r="39" ht="22" customHeight="1">
      <c r="A39" s="12" t="inlineStr">
        <is>
          <t>Pass 1 — Web   ›   W6. Admin sanity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13" t="n">
        <v>33</v>
      </c>
      <c r="B40" s="14" t="inlineStr">
        <is>
          <t>Pass 1 — Web</t>
        </is>
      </c>
      <c r="C40" s="14" t="inlineStr">
        <is>
          <t>W6. Admin sanity</t>
        </is>
      </c>
      <c r="D40" s="15" t="inlineStr">
        <is>
          <t>/admin/users shows the accounts you just created with the correct plan; /admin/trades shows the trades you logged (including Setup / SL / TP fields); /admin/payments shows the real payment from W3.</t>
        </is>
      </c>
      <c r="E40" s="13" t="inlineStr"/>
      <c r="F40" s="16" t="inlineStr"/>
      <c r="G40" s="13" t="inlineStr"/>
      <c r="H40" s="13" t="inlineStr"/>
      <c r="I40" s="13" t="inlineStr"/>
    </row>
    <row r="41">
      <c r="A41" s="13" t="n">
        <v>34</v>
      </c>
      <c r="B41" s="14" t="inlineStr">
        <is>
          <t>Pass 1 — Web</t>
        </is>
      </c>
      <c r="C41" s="14" t="inlineStr">
        <is>
          <t>W6. Admin sanity</t>
        </is>
      </c>
      <c r="D41" s="15" t="inlineStr">
        <is>
          <t>/admin/promotions — if launching with a coupon, it is active and tied to an active campaign.</t>
        </is>
      </c>
      <c r="E41" s="13" t="inlineStr"/>
      <c r="F41" s="16" t="inlineStr"/>
      <c r="G41" s="13" t="inlineStr"/>
      <c r="H41" s="13" t="inlineStr"/>
      <c r="I41" s="13" t="inlineStr"/>
    </row>
    <row r="42" ht="22" customHeight="1">
      <c r="A42" s="12" t="inlineStr">
        <is>
          <t>Pass 2 — Android   ›   A1. Store compliance — suspension risk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13" t="n">
        <v>35</v>
      </c>
      <c r="B43" s="14" t="inlineStr">
        <is>
          <t>Pass 2 — Android</t>
        </is>
      </c>
      <c r="C43" s="14" t="inlineStr">
        <is>
          <t>A1. Store compliance — suspension risk</t>
        </is>
      </c>
      <c r="D43" s="15" t="inlineStr">
        <is>
          <t>Build flags</t>
        </is>
      </c>
      <c r="E43" s="13" t="inlineStr">
        <is>
          <t>The Android build was made with NEXT_PUBLIC_PAYMENTS_ENABLED=false and NEXT_PUBLIC_PLAY_BILLING_ENABLED=true.</t>
        </is>
      </c>
      <c r="F43" s="16" t="inlineStr"/>
      <c r="G43" s="13" t="inlineStr"/>
      <c r="H43" s="13" t="inlineStr"/>
      <c r="I43" s="13" t="inlineStr"/>
    </row>
    <row r="44">
      <c r="A44" s="13" t="n">
        <v>36</v>
      </c>
      <c r="B44" s="14" t="inlineStr">
        <is>
          <t>Pass 2 — Android</t>
        </is>
      </c>
      <c r="C44" s="14" t="inlineStr">
        <is>
          <t>A1. Store compliance — suspension risk</t>
        </is>
      </c>
      <c r="D44" s="15" t="inlineStr">
        <is>
          <t>No Razorpay on Android. Hit the free-trade limit in the app</t>
        </is>
      </c>
      <c r="E44" s="13" t="inlineStr">
        <is>
          <t>the Google Play paywall opens. Razorpay UI must never appear anywhere in the app — also check Settings → Upgrade.</t>
        </is>
      </c>
      <c r="F44" s="16" t="inlineStr"/>
      <c r="G44" s="13" t="inlineStr"/>
      <c r="H44" s="13" t="inlineStr"/>
      <c r="I44" s="13" t="inlineStr"/>
    </row>
    <row r="45">
      <c r="A45" s="13" t="n">
        <v>37</v>
      </c>
      <c r="B45" s="14" t="inlineStr">
        <is>
          <t>Pass 2 — Android</t>
        </is>
      </c>
      <c r="C45" s="14" t="inlineStr">
        <is>
          <t>A1. Store compliance — suspension risk</t>
        </is>
      </c>
      <c r="D45" s="15" t="inlineStr">
        <is>
          <t>Play Console products match code</t>
        </is>
      </c>
      <c r="E45" s="13" t="inlineStr">
        <is>
          <t>Subscription product ID and base plan IDs (edgecipline-pro-monthly, -3month, -6month) match backend/constants/googlePlay.js exactly; prices in the paywall are Play's own localized prices.</t>
        </is>
      </c>
      <c r="F45" s="16" t="inlineStr"/>
      <c r="G45" s="13" t="inlineStr"/>
      <c r="H45" s="13" t="inlineStr"/>
      <c r="I45" s="13" t="inlineStr"/>
    </row>
    <row r="46">
      <c r="A46" s="13" t="n">
        <v>38</v>
      </c>
      <c r="B46" s="14" t="inlineStr">
        <is>
          <t>Pass 2 — Android</t>
        </is>
      </c>
      <c r="C46" s="14" t="inlineStr">
        <is>
          <t>A1. Store compliance — suspension risk</t>
        </is>
      </c>
      <c r="D46" s="15" t="inlineStr">
        <is>
          <t>Store listing</t>
        </is>
      </c>
      <c r="E46" s="13" t="inlineStr">
        <is>
          <t>Support URL and privacy policy URL open; listing screenshots show the current (redesigned) UI.</t>
        </is>
      </c>
      <c r="F46" s="16" t="inlineStr"/>
      <c r="G46" s="13" t="inlineStr"/>
      <c r="H46" s="13" t="inlineStr"/>
      <c r="I46" s="13" t="inlineStr"/>
    </row>
    <row r="47" ht="22" customHeight="1">
      <c r="A47" s="12" t="inlineStr">
        <is>
          <t>Pass 2 — Android   ›   A2. Google Play money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13" t="n">
        <v>39</v>
      </c>
      <c r="B48" s="14" t="inlineStr">
        <is>
          <t>Pass 2 — Android</t>
        </is>
      </c>
      <c r="C48" s="14" t="inlineStr">
        <is>
          <t>A2. Google Play money</t>
        </is>
      </c>
      <c r="D48" s="15" t="inlineStr">
        <is>
          <t>Real purchase. With a license-tester account, subscribe from the paywall</t>
        </is>
      </c>
      <c r="E48" s="13" t="inlineStr">
        <is>
          <t>Play sheet opens; after paying, Premium unlocks and the celebration screen shows the expiry.</t>
        </is>
      </c>
      <c r="F48" s="16" t="inlineStr"/>
      <c r="G48" s="13" t="inlineStr"/>
      <c r="H48" s="13" t="inlineStr"/>
      <c r="I48" s="13" t="inlineStr"/>
    </row>
    <row r="49">
      <c r="A49" s="13" t="n">
        <v>40</v>
      </c>
      <c r="B49" s="14" t="inlineStr">
        <is>
          <t>Pass 2 — Android</t>
        </is>
      </c>
      <c r="C49" s="14" t="inlineStr">
        <is>
          <t>A2. Google Play money</t>
        </is>
      </c>
      <c r="D49" s="15" t="inlineStr">
        <is>
          <t>Cancel out of the Play sheet</t>
        </is>
      </c>
      <c r="E49" s="13" t="inlineStr">
        <is>
          <t>paywall returns to normal, no error, no charge.</t>
        </is>
      </c>
      <c r="F49" s="16" t="inlineStr"/>
      <c r="G49" s="13" t="inlineStr"/>
      <c r="H49" s="13" t="inlineStr"/>
      <c r="I49" s="13" t="inlineStr"/>
    </row>
    <row r="50">
      <c r="A50" s="13" t="n">
        <v>41</v>
      </c>
      <c r="B50" s="14" t="inlineStr">
        <is>
          <t>Pass 2 — Android</t>
        </is>
      </c>
      <c r="C50" s="14" t="inlineStr">
        <is>
          <t>A2. Google Play money</t>
        </is>
      </c>
      <c r="D50" s="15" t="inlineStr">
        <is>
          <t>Double-tap Subscribe</t>
        </is>
      </c>
      <c r="E50" s="13" t="inlineStr">
        <is>
          <t>only one Play sheet opens.</t>
        </is>
      </c>
      <c r="F50" s="16" t="inlineStr"/>
      <c r="G50" s="13" t="inlineStr"/>
      <c r="H50" s="13" t="inlineStr"/>
      <c r="I50" s="13" t="inlineStr"/>
    </row>
    <row r="51">
      <c r="A51" s="13" t="n">
        <v>42</v>
      </c>
      <c r="B51" s="14" t="inlineStr">
        <is>
          <t>Pass 2 — Android</t>
        </is>
      </c>
      <c r="C51" s="14" t="inlineStr">
        <is>
          <t>A2. Google Play money</t>
        </is>
      </c>
      <c r="D51" s="15" t="inlineStr">
        <is>
          <t>Kill the app mid-purchase (after the Play sheet, before confirmation) → reopen</t>
        </is>
      </c>
      <c r="E51" s="13" t="inlineStr">
        <is>
          <t>purchase is picked up and Premium is granted automatically.</t>
        </is>
      </c>
      <c r="F51" s="16" t="inlineStr"/>
      <c r="G51" s="13" t="inlineStr"/>
      <c r="H51" s="13" t="inlineStr"/>
      <c r="I51" s="13" t="inlineStr"/>
    </row>
    <row r="52">
      <c r="A52" s="13" t="n">
        <v>43</v>
      </c>
      <c r="B52" s="14" t="inlineStr">
        <is>
          <t>Pass 2 — Android</t>
        </is>
      </c>
      <c r="C52" s="14" t="inlineStr">
        <is>
          <t>A2. Google Play money</t>
        </is>
      </c>
      <c r="D52" s="15" t="inlineStr">
        <is>
          <t>Restore purchases. Uninstall/reinstall (or log out/in) → Restore</t>
        </is>
      </c>
      <c r="E52" s="13" t="inlineStr">
        <is>
          <t>Premium restored without paying again. With no purchase on the device → "No previous Google Play subscription was found".</t>
        </is>
      </c>
      <c r="F52" s="16" t="inlineStr"/>
      <c r="G52" s="13" t="inlineStr"/>
      <c r="H52" s="13" t="inlineStr"/>
      <c r="I52" s="13" t="inlineStr"/>
    </row>
    <row r="53">
      <c r="A53" s="13" t="n">
        <v>44</v>
      </c>
      <c r="B53" s="14" t="inlineStr">
        <is>
          <t>Pass 2 — Android</t>
        </is>
      </c>
      <c r="C53" s="14" t="inlineStr">
        <is>
          <t>A2. Google Play money</t>
        </is>
      </c>
      <c r="D53" s="15" t="inlineStr">
        <is>
          <t>Cancel from Play Store. Play Store → Subscriptions → cancel the test sub</t>
        </is>
      </c>
      <c r="E53" s="13" t="inlineStr">
        <is>
          <t>within a few minutes the app reflects it and /admin/payments shows the change (webhook path works).</t>
        </is>
      </c>
      <c r="F53" s="16" t="inlineStr"/>
      <c r="G53" s="13" t="inlineStr"/>
      <c r="H53" s="13" t="inlineStr"/>
      <c r="I53" s="13" t="inlineStr"/>
    </row>
    <row r="54" ht="22" customHeight="1">
      <c r="A54" s="12" t="inlineStr">
        <is>
          <t>Pass 2 — Android   ›   A3. App-only behaviour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13" t="n">
        <v>45</v>
      </c>
      <c r="B55" s="14" t="inlineStr">
        <is>
          <t>Pass 2 — Android</t>
        </is>
      </c>
      <c r="C55" s="14" t="inlineStr">
        <is>
          <t>A3. App-only behaviour</t>
        </is>
      </c>
      <c r="D55" s="15" t="inlineStr">
        <is>
          <t>Login + session on the app; app kill and reopen keeps you logged in.</t>
        </is>
      </c>
      <c r="E55" s="13" t="inlineStr"/>
      <c r="F55" s="16" t="inlineStr"/>
      <c r="G55" s="13" t="inlineStr"/>
      <c r="H55" s="13" t="inlineStr"/>
      <c r="I55" s="13" t="inlineStr"/>
    </row>
    <row r="56">
      <c r="A56" s="13" t="n">
        <v>46</v>
      </c>
      <c r="B56" s="14" t="inlineStr">
        <is>
          <t>Pass 2 — Android</t>
        </is>
      </c>
      <c r="C56" s="14" t="inlineStr">
        <is>
          <t>A3. App-only behaviour</t>
        </is>
      </c>
      <c r="D56" s="15" t="inlineStr">
        <is>
          <t>Push notifications</t>
        </is>
      </c>
      <c r="E56" s="13" t="inlineStr">
        <is>
          <t>Trigger one (e.g. admin replies to your ticket) → notification arrives on the device and opens the right screen.</t>
        </is>
      </c>
      <c r="F56" s="16" t="inlineStr"/>
      <c r="G56" s="13" t="inlineStr"/>
      <c r="H56" s="13" t="inlineStr"/>
      <c r="I56" s="13" t="inlineStr"/>
    </row>
    <row r="57">
      <c r="A57" s="13" t="n">
        <v>47</v>
      </c>
      <c r="B57" s="14" t="inlineStr">
        <is>
          <t>Pass 2 — Android</t>
        </is>
      </c>
      <c r="C57" s="14" t="inlineStr">
        <is>
          <t>A3. App-only behaviour</t>
        </is>
      </c>
      <c r="D57" s="15" t="inlineStr">
        <is>
          <t>Camera / gallery</t>
        </is>
      </c>
      <c r="E57" s="13" t="inlineStr">
        <is>
          <t>Add Trade → screenshot picker works; Report Issue → attaching from gallery works (Android storage permission prompt behaves).</t>
        </is>
      </c>
      <c r="F57" s="16" t="inlineStr"/>
      <c r="G57" s="13" t="inlineStr"/>
      <c r="H57" s="13" t="inlineStr"/>
      <c r="I57" s="13" t="inlineStr"/>
    </row>
    <row r="58">
      <c r="A58" s="13" t="n">
        <v>48</v>
      </c>
      <c r="B58" s="14" t="inlineStr">
        <is>
          <t>Pass 2 — Android</t>
        </is>
      </c>
      <c r="C58" s="14" t="inlineStr">
        <is>
          <t>A3. App-only behaviour</t>
        </is>
      </c>
      <c r="D58" s="15" t="inlineStr">
        <is>
          <t>OCR upload from the app with a real broker screenshot → correct extraction (not the EURUSD sample).</t>
        </is>
      </c>
      <c r="E58" s="13" t="inlineStr"/>
      <c r="F58" s="16" t="inlineStr"/>
      <c r="G58" s="13" t="inlineStr"/>
      <c r="H58" s="13" t="inlineStr"/>
      <c r="I58" s="13" t="inlineStr"/>
    </row>
    <row r="59">
      <c r="A59" s="13" t="n">
        <v>49</v>
      </c>
      <c r="B59" s="14" t="inlineStr">
        <is>
          <t>Pass 2 — Android</t>
        </is>
      </c>
      <c r="C59" s="14" t="inlineStr">
        <is>
          <t>A3. App-only behaviour</t>
        </is>
      </c>
      <c r="D59" s="15" t="inlineStr">
        <is>
          <t>Checklist image preview on the phone (and in split-screen if you can) → the × button is visible and closes it.</t>
        </is>
      </c>
      <c r="E59" s="13" t="inlineStr"/>
      <c r="F59" s="16" t="inlineStr"/>
      <c r="G59" s="13" t="inlineStr"/>
      <c r="H59" s="13" t="inlineStr"/>
      <c r="I59" s="13" t="inlineStr"/>
    </row>
    <row r="60">
      <c r="A60" s="13" t="n">
        <v>50</v>
      </c>
      <c r="B60" s="14" t="inlineStr">
        <is>
          <t>Pass 2 — Android</t>
        </is>
      </c>
      <c r="C60" s="14" t="inlineStr">
        <is>
          <t>A3. App-only behaviour</t>
        </is>
      </c>
      <c r="D60" s="15" t="inlineStr">
        <is>
          <t>Bug report from the app → ticket appears in /admin/support with platform = android and the app version shown.</t>
        </is>
      </c>
      <c r="E60" s="13" t="inlineStr"/>
      <c r="F60" s="16" t="inlineStr"/>
      <c r="G60" s="13" t="inlineStr"/>
      <c r="H60" s="13" t="inlineStr"/>
      <c r="I60" s="13" t="inlineStr"/>
    </row>
    <row r="61">
      <c r="A61" s="13" t="n">
        <v>51</v>
      </c>
      <c r="B61" s="14" t="inlineStr">
        <is>
          <t>Pass 2 — Android</t>
        </is>
      </c>
      <c r="C61" s="14" t="inlineStr">
        <is>
          <t>A3. App-only behaviour</t>
        </is>
      </c>
      <c r="D61" s="15" t="inlineStr">
        <is>
          <t>Back button / bottom nav</t>
        </is>
      </c>
      <c r="E61" s="13" t="inlineStr">
        <is>
          <t>Android back closes modals (paywall, image preview, Help widget) before leaving the screen; bottom nav works on both markets.</t>
        </is>
      </c>
      <c r="F61" s="16" t="inlineStr"/>
      <c r="G61" s="13" t="inlineStr"/>
      <c r="H61" s="13" t="inlineStr"/>
      <c r="I61" s="13" t="inlineStr"/>
    </row>
    <row r="62" ht="22" customHeight="1">
      <c r="A62" s="12" t="inlineStr">
        <is>
          <t>Final   ›   Before deploy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13" t="n">
        <v>52</v>
      </c>
      <c r="B63" s="14" t="inlineStr">
        <is>
          <t>Final</t>
        </is>
      </c>
      <c r="C63" s="14" t="inlineStr">
        <is>
          <t>Before deploy</t>
        </is>
      </c>
      <c r="D63" s="15" t="inlineStr">
        <is>
          <t>Rollback noted: previous build / git tag written here: ______________ and you know the exact command to redeploy it.</t>
        </is>
      </c>
      <c r="E63" s="13" t="inlineStr"/>
      <c r="F63" s="16" t="inlineStr"/>
      <c r="G63" s="13" t="inlineStr"/>
      <c r="H63" s="13" t="inlineStr"/>
      <c r="I63" s="13" t="inlineStr"/>
    </row>
    <row r="64">
      <c r="A64" s="13" t="n">
        <v>53</v>
      </c>
      <c r="B64" s="14" t="inlineStr">
        <is>
          <t>Final</t>
        </is>
      </c>
      <c r="C64" s="14" t="inlineStr">
        <is>
          <t>Before deploy</t>
        </is>
      </c>
      <c r="D64" s="15" t="inlineStr">
        <is>
          <t>Monitoring: you know where errors show up (logs / /admin/monitoring) and you will watch /admin/support + /admin/issues for the first 24 hours — the in-app reporter is now your live test suite.</t>
        </is>
      </c>
      <c r="E64" s="13" t="inlineStr"/>
      <c r="F64" s="16" t="inlineStr"/>
      <c r="G64" s="13" t="inlineStr"/>
      <c r="H64" s="13" t="inlineStr"/>
      <c r="I64" s="13" t="inlineStr"/>
    </row>
    <row r="65">
      <c r="A65" s="13" t="n">
        <v>54</v>
      </c>
      <c r="B65" s="14" t="inlineStr">
        <is>
          <t>Final</t>
        </is>
      </c>
      <c r="C65" s="14" t="inlineStr">
        <is>
          <t>Before deploy</t>
        </is>
      </c>
      <c r="D65" s="15" t="inlineStr">
        <is>
          <t>Someone else (not the developer) has done W4 once, end to end, without help.</t>
        </is>
      </c>
      <c r="E65" s="13" t="inlineStr"/>
      <c r="F65" s="16" t="inlineStr"/>
      <c r="G65" s="13" t="inlineStr"/>
      <c r="H65" s="13" t="inlineStr"/>
      <c r="I65" s="13" t="inlineStr"/>
    </row>
  </sheetData>
  <autoFilter ref="A1:I65"/>
  <mergeCells count="10">
    <mergeCell ref="A2:I2"/>
    <mergeCell ref="A10:I10"/>
    <mergeCell ref="A42:I42"/>
    <mergeCell ref="A47:I47"/>
    <mergeCell ref="A32:I32"/>
    <mergeCell ref="A17:I17"/>
    <mergeCell ref="A23:I23"/>
    <mergeCell ref="A39:I39"/>
    <mergeCell ref="A62:I62"/>
    <mergeCell ref="A54:I54"/>
  </mergeCells>
  <conditionalFormatting sqref="F2:F65">
    <cfRule type="cellIs" priority="1" operator="equal" dxfId="1">
      <formula>"P"</formula>
    </cfRule>
    <cfRule type="cellIs" priority="2" operator="equal" dxfId="0">
      <formula>"F"</formula>
    </cfRule>
    <cfRule type="cellIs" priority="3" operator="equal" dxfId="3">
      <formula>"N/A"</formula>
    </cfRule>
  </conditionalFormatting>
  <dataValidations count="1">
    <dataValidation sqref="F2:F65" showDropDown="0" showInputMessage="0" showErrorMessage="0" allowBlank="1" error="Enter P (pass), F (fail) or N/A" type="list">
      <formula1>"P,F,N/A"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2026-09-12T07:05:05Z</dcterms:created>
  <dcterms:modified xsi:type="dcterms:W3CDTF">2026-09-12T07:05:05Z</dcterms:modified>
</cp:coreProperties>
</file>